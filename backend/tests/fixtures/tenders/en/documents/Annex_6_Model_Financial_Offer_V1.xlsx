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r-drive\ED\ED2\2.1 PROC\MGMT\01_PP\2026\01_HVP\EASA_2026_OP_0006_Digital Communication Services (HVP.04)\02_Tender Dossier\02_Tender Dossier - For Circulation\"/>
    </mc:Choice>
  </mc:AlternateContent>
  <xr:revisionPtr revIDLastSave="0" documentId="13_ncr:1_{2FEE250E-1D62-4EBE-97D5-9F5B46206AF8}" xr6:coauthVersionLast="47" xr6:coauthVersionMax="47" xr10:uidLastSave="{00000000-0000-0000-0000-000000000000}"/>
  <bookViews>
    <workbookView xWindow="-110" yWindow="-110" windowWidth="19420" windowHeight="11500" xr2:uid="{00000000-000D-0000-FFFF-FFFF00000000}"/>
  </bookViews>
  <sheets>
    <sheet name="Part A" sheetId="1" r:id="rId1"/>
    <sheet name="Part B SCENARIO" sheetId="2" r:id="rId2"/>
  </sheets>
  <definedNames>
    <definedName name="_ftn1" localSheetId="0">'Part B SCENARIO'!$A$23</definedName>
    <definedName name="_ftnref1" localSheetId="0">'Part B SCENARIO'!$C$3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 r="F7" i="1"/>
  <c r="F6" i="1"/>
  <c r="C4" i="2"/>
  <c r="E4" i="2" s="1"/>
  <c r="C13" i="2"/>
  <c r="E13" i="2" s="1"/>
  <c r="C12" i="2"/>
  <c r="E12" i="2" s="1"/>
  <c r="C11" i="2"/>
  <c r="E11" i="2" s="1"/>
  <c r="C10" i="2"/>
  <c r="E10" i="2" s="1"/>
  <c r="C9" i="2"/>
  <c r="E9" i="2" s="1"/>
  <c r="C8" i="2"/>
  <c r="E8" i="2" s="1"/>
  <c r="C7" i="2"/>
  <c r="E7" i="2" s="1"/>
  <c r="C6" i="2"/>
  <c r="E6" i="2" s="1"/>
  <c r="C5" i="2"/>
  <c r="E5" i="2" s="1"/>
  <c r="E14" i="2" l="1"/>
  <c r="F22" i="1"/>
  <c r="F21" i="1"/>
  <c r="F20" i="1"/>
  <c r="F10" i="1"/>
  <c r="F9" i="1"/>
  <c r="F8" i="1"/>
  <c r="F11" i="1" l="1"/>
  <c r="F12" i="1"/>
  <c r="F13" i="1"/>
  <c r="F14" i="1"/>
  <c r="F15" i="1"/>
  <c r="F16" i="1"/>
  <c r="F17" i="1"/>
  <c r="F18" i="1"/>
  <c r="F19" i="1"/>
  <c r="F23" i="1"/>
  <c r="F24" i="1"/>
  <c r="F25" i="1"/>
  <c r="F27" i="1" l="1"/>
</calcChain>
</file>

<file path=xl/sharedStrings.xml><?xml version="1.0" encoding="utf-8"?>
<sst xmlns="http://schemas.openxmlformats.org/spreadsheetml/2006/main" count="72" uniqueCount="52">
  <si>
    <t>Name of Tenderer:</t>
  </si>
  <si>
    <t>Unit</t>
  </si>
  <si>
    <t>Note:</t>
  </si>
  <si>
    <t>Part B – SCENARIO</t>
  </si>
  <si>
    <t>Description of tasks</t>
  </si>
  <si>
    <t>Total price in EURO</t>
  </si>
  <si>
    <t>Weighting in %</t>
  </si>
  <si>
    <t>Total weighting</t>
  </si>
  <si>
    <r>
      <t>TOTAL PRICE*</t>
    </r>
    <r>
      <rPr>
        <b/>
        <i/>
        <sz val="11"/>
        <color theme="1"/>
        <rFont val="Calibri"/>
        <family val="2"/>
        <scheme val="minor"/>
      </rPr>
      <t xml:space="preserve">
</t>
    </r>
    <r>
      <rPr>
        <i/>
        <sz val="9"/>
        <color theme="1"/>
        <rFont val="Calibri"/>
        <family val="2"/>
        <scheme val="minor"/>
      </rPr>
      <t>*The TOTAL PRICE is the sum of all the total prices of Part B - SCENARIO</t>
    </r>
  </si>
  <si>
    <t>Project Manager</t>
  </si>
  <si>
    <t>Drupal developer</t>
  </si>
  <si>
    <t>Junior Drupal developer</t>
  </si>
  <si>
    <t>Web developer</t>
  </si>
  <si>
    <t>Junior Web developer</t>
  </si>
  <si>
    <t>Junior digital content editor</t>
  </si>
  <si>
    <t xml:space="preserve">Data/Visualisation/Infographic developer </t>
  </si>
  <si>
    <t>Web solution architect</t>
  </si>
  <si>
    <t>Native app developer</t>
  </si>
  <si>
    <t>User experience expert</t>
  </si>
  <si>
    <t>Description</t>
  </si>
  <si>
    <r>
      <rPr>
        <b/>
        <sz val="12"/>
        <rFont val="Times New Roman"/>
        <family val="1"/>
      </rPr>
      <t xml:space="preserve">➝ </t>
    </r>
    <r>
      <rPr>
        <b/>
        <sz val="11"/>
        <rFont val="Calibri"/>
        <family val="2"/>
        <scheme val="minor"/>
      </rPr>
      <t>The prices used for the scenario shall be consistent with Part A - PRICE LIST.
➝ Please note that this is only a scenario used for the financial evaluation, it is not binding for the framework contract implementation. However, it shall be used as a benchmark for allocation of resources required during framework contract implementation.</t>
    </r>
  </si>
  <si>
    <r>
      <t xml:space="preserve">SUM OF WEIGHTED PRICES*
</t>
    </r>
    <r>
      <rPr>
        <i/>
        <sz val="9"/>
        <rFont val="Calibri"/>
        <family val="2"/>
        <scheme val="minor"/>
      </rPr>
      <t xml:space="preserve">*The SUM OF WEIGHTED PRICES is the sum of all the weighted prices of Part A - PRICE LIST </t>
    </r>
  </si>
  <si>
    <t>Profiles as per Part A</t>
  </si>
  <si>
    <t>Price per Unit in EURO</t>
  </si>
  <si>
    <t>man/hour</t>
  </si>
  <si>
    <t>Weighted Price per man/hour</t>
  </si>
  <si>
    <t>Number of Units</t>
  </si>
  <si>
    <t>1. Dedicated Drupal support for creation of a content type of medium complexity. The content type is for events and has the following fields: Title, body, cover image, location, start/end date, agenda(file), speakers(file), contact, video recording(link);
2. Dedicated Drupal support and front-end development for creation of a calendar view for events. Each event should have a dedicated page, details of the content type ‘events’ are explained in point 1.
3. Data visualisation support to facilitate front end development of a website. Before development starts mockups should be provided to validate the final look and feel. The website should provide the relevant graphical representations(line graphs, bar charts, ...) using existing data visualisation libraries. The data to be used is available via https://www.easa.europa.eu/eco/eaer/topics/overview-of-aviation-sector/figures-and-tables
4. Native app development. Before development starts mockups should be provided to validate the final look and feel. The app should provide the relevant graphical representations(line graphs, bar charts, ...) using existing data visualisation libraries. The data to be used is available via https://www.easa.europa.eu/en/domains/environment/eaer/overview-aviation-sector/figures-and-tables
5. Definition of a digital solution architecture for the website including data management aspects to be used in a scenario where a native app needs to retrieve data and content which is being managed via Drupal. 
Below is more explanation on the data and content to be managed.
- The data to be used is available via https://www.easa.europa.eu/en/domains/environment/eaer/overview-aviation-sector/figures-and-tables
- The content should be in the form of news items https://www.easa.europa.eu/en/newsroom-and-events/news and events https://www.easa.europa.eu/en/newsroom-and-events/events 
6. Dedicated content editing support for the creation of 2 basic news items and 2 pages including appropriate graphical elements. The news items should introduce the website and the native app mentioned in point 3 and 4 above. The pages should contain content to explain the native app and website.</t>
  </si>
  <si>
    <t>ANNEX 6 - MODEL FINANCIAL OFFER</t>
  </si>
  <si>
    <t>Project manager (min. 5 years relevant experience)</t>
  </si>
  <si>
    <t>Senior project manager (min. 10 years relevant exp.)</t>
  </si>
  <si>
    <t>Senior web developer (min.10 years relevant exp.)</t>
  </si>
  <si>
    <t>Web developer (min. 5 years relevant experience)</t>
  </si>
  <si>
    <t>Drupal developer (min. 5 years relevant experience)</t>
  </si>
  <si>
    <t>Digital content editor (min. 5 years relevant experience)</t>
  </si>
  <si>
    <t>Native app developer (min. 5 years relevant experience)</t>
  </si>
  <si>
    <t xml:space="preserve"> Data/Visualisation/Infographic developer  (min. 5 years relevant experience)</t>
  </si>
  <si>
    <t>Junior Data/Visualisation/Infographic developer (min. 2 years relevant experience)</t>
  </si>
  <si>
    <t>Senior Data/Visualisation/Infographic developer (min. 10 years relevant experience)</t>
  </si>
  <si>
    <t>Senior native app developer (min. 10 years relevant experience)</t>
  </si>
  <si>
    <t>Junior digital content editor (min. 2 years relevant experience)</t>
  </si>
  <si>
    <t>Junior Drupal developer (min. 2 years relevant experience)</t>
  </si>
  <si>
    <t>User experiences expert (min. 5 years relevant experience)</t>
  </si>
  <si>
    <t>Digital communication campaign expert (min. 5 years relevant experience)</t>
  </si>
  <si>
    <t>Web solution architect (min. 5 years relevant exxperience)</t>
  </si>
  <si>
    <t>Senior digital content editor (min. 10 years relevant experience)</t>
  </si>
  <si>
    <t>Junior native app developer (min. 2 years relevant experience)</t>
  </si>
  <si>
    <t>Junior web developer (min. 2 years relevant experience)</t>
  </si>
  <si>
    <t>Senior Drupal developer (min.10 years relevant experience)</t>
  </si>
  <si>
    <r>
      <t xml:space="preserve">Note: 
</t>
    </r>
    <r>
      <rPr>
        <sz val="11"/>
        <rFont val="Calibri"/>
        <family val="2"/>
        <scheme val="minor"/>
      </rPr>
      <t>- The ANNEX 6 - MODEL FINANCIAL OFFER shall be submitted in both pdf and xls format, in case of inconsistencies, the xls format prevails.
- While filling in Annex 6 the tenderer shall take into consideration all requirements defined in the Tender Specifications. Failure to comply with these requirements may lead to rejection of the tender.
- The financial offer shall not include any notes/additional information/clarifications inserted or attached by the tenderer. Failure to comply with this requirement may lead to rejection of the tender.
- Every tenderer is required to verify that the results of all data entered in the model financial offer are correct and ensure that all averages, sub-totals, totals etc. are correct and consistently provided.
- A price shall be indicated for each category and must not amount to zero. Failure to comply with this requirement may lead to rejection of the tender.
- Please note that the prices indicated in Part A – Price list are maximum prices, and will be binding on the contractor throughout the contract implementation.
- Prices must be quoted in EURO and include all expenses necessary to perform the contract, such as equipment required to perform the work. In special cases, where duly justified by the nature of the project and agreed with the Agency a need and/or maximum budget for the following reimbursable costs may be indicated by EASA in the Request for Specific Contract: i. other costs incurred by the contractor linked to the services requested (e.g. hosting services, email deliver services, etc.) 
-The price quoted is fixed and shall be subject to NO revision.
-The financial offer shall be:
                -	expressed in EURO. Tenderers from countries outside the euro zone have to quote their prices in euro. The price quoted may not be revised in line with exchange rate   movements. It is for the tenderer to bear the risks or the benefits deriving from any variation.
                 -      quoted free of all duties, taxes and other charges, i.e. also free of VAT. 
- EASA is exempt from such charges in the EU under Articles 3 and 4 of the Protocol on the Privileges and Immunities of the European Union of 8 April 1965 annexed to the Treaty on the Functioning of the European Union. Exemption is granted to EASA by the governments of the Member States, either through refunds upon presentation of documentary evidence or by direct exemption. 
In case of doubt about the applicable VAT system, it is the tenderer's responsibility to contact his or her national authorities to clarify the way in which the European Union is exempt from VAT.
- Costs incurred in preparing and submitting tenders are borne by the tenderer and shall not be reimbursed.</t>
    </r>
  </si>
  <si>
    <r>
      <t xml:space="preserve">Part A - PRICE LIST
</t>
    </r>
    <r>
      <rPr>
        <b/>
        <i/>
        <sz val="14"/>
        <color rgb="FFFF0000"/>
        <rFont val="Calibri"/>
        <family val="2"/>
        <scheme val="minor"/>
      </rPr>
      <t>- All (and only) cells in yellow are to be completed by the tenderer!</t>
    </r>
  </si>
  <si>
    <t>Item+A5:C25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</si>
</sst>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font>
    <font>
      <b/>
      <sz val="11"/>
      <color theme="1"/>
      <name val="Calibri"/>
      <family val="2"/>
    </font>
    <font>
      <sz val="11"/>
      <name val="Calibri"/>
      <family val="2"/>
    </font>
    <font>
      <sz val="11"/>
      <color rgb="FF000000"/>
      <name val="Calibri"/>
      <family val="2"/>
    </font>
    <font>
      <sz val="11"/>
      <name val="Calibri"/>
      <family val="2"/>
      <scheme val="minor"/>
    </font>
    <font>
      <sz val="11"/>
      <color rgb="FF000000"/>
      <name val="Calibri"/>
      <family val="2"/>
      <scheme val="minor"/>
    </font>
    <font>
      <sz val="9"/>
      <name val="Wingdings"/>
      <charset val="2"/>
    </font>
    <font>
      <b/>
      <u/>
      <sz val="11"/>
      <color theme="1"/>
      <name val="Calibri"/>
      <family val="2"/>
      <scheme val="minor"/>
    </font>
    <font>
      <u/>
      <sz val="11"/>
      <color theme="10"/>
      <name val="Calibri"/>
      <family val="2"/>
      <scheme val="minor"/>
    </font>
    <font>
      <sz val="9"/>
      <color rgb="FFFF0000"/>
      <name val="Wingdings"/>
      <charset val="2"/>
    </font>
    <font>
      <b/>
      <i/>
      <sz val="11"/>
      <color theme="1"/>
      <name val="Calibri"/>
      <family val="2"/>
      <scheme val="minor"/>
    </font>
    <font>
      <b/>
      <sz val="18"/>
      <color theme="1"/>
      <name val="Calibri"/>
      <family val="2"/>
    </font>
    <font>
      <i/>
      <sz val="9"/>
      <color theme="1"/>
      <name val="Calibri"/>
      <family val="2"/>
      <scheme val="minor"/>
    </font>
    <font>
      <b/>
      <sz val="11"/>
      <name val="Calibri"/>
      <family val="2"/>
      <scheme val="minor"/>
    </font>
    <font>
      <b/>
      <sz val="12"/>
      <name val="Times New Roman"/>
      <family val="1"/>
    </font>
    <font>
      <b/>
      <sz val="9"/>
      <name val="Wingdings"/>
      <family val="1"/>
      <charset val="2"/>
    </font>
    <font>
      <i/>
      <sz val="9"/>
      <name val="Calibri"/>
      <family val="2"/>
      <scheme val="minor"/>
    </font>
    <font>
      <b/>
      <i/>
      <sz val="14"/>
      <color rgb="FFFF0000"/>
      <name val="Calibri"/>
      <family val="2"/>
      <scheme val="minor"/>
    </font>
  </fonts>
  <fills count="11">
    <fill>
      <patternFill patternType="none"/>
    </fill>
    <fill>
      <patternFill patternType="gray125"/>
    </fill>
    <fill>
      <patternFill patternType="solid">
        <fgColor rgb="FFB8CCE4"/>
        <bgColor indexed="64"/>
      </patternFill>
    </fill>
    <fill>
      <patternFill patternType="solid">
        <fgColor theme="6" tint="0.39997558519241921"/>
        <bgColor indexed="64"/>
      </patternFill>
    </fill>
    <fill>
      <patternFill patternType="solid">
        <fgColor theme="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2" tint="-0.249977111117893"/>
        <bgColor indexed="64"/>
      </patternFill>
    </fill>
    <fill>
      <patternFill patternType="solid">
        <fgColor theme="4"/>
        <bgColor indexed="64"/>
      </patternFill>
    </fill>
    <fill>
      <patternFill patternType="solid">
        <fgColor rgb="FF00B050"/>
        <bgColor indexed="64"/>
      </patternFill>
    </fill>
    <fill>
      <patternFill patternType="solid">
        <fgColor rgb="FFC9C9C9"/>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0" fontId="12" fillId="0" borderId="0" applyNumberFormat="0" applyFill="0" applyBorder="0" applyAlignment="0" applyProtection="0"/>
  </cellStyleXfs>
  <cellXfs count="60">
    <xf numFmtId="0" fontId="0" fillId="0" borderId="0" xfId="0"/>
    <xf numFmtId="0" fontId="3" fillId="0" borderId="0" xfId="0" applyFont="1" applyAlignment="1">
      <alignment horizontal="center" vertical="center"/>
    </xf>
    <xf numFmtId="0" fontId="10" fillId="0" borderId="0" xfId="0" applyFont="1" applyAlignment="1">
      <alignment horizontal="justify" vertical="center"/>
    </xf>
    <xf numFmtId="0" fontId="11" fillId="0" borderId="0" xfId="0" applyFont="1" applyAlignment="1">
      <alignment horizontal="justify" vertical="center"/>
    </xf>
    <xf numFmtId="0" fontId="0" fillId="0" borderId="0" xfId="0" applyAlignment="1">
      <alignment vertical="center"/>
    </xf>
    <xf numFmtId="0" fontId="1" fillId="0" borderId="0" xfId="0" applyFont="1" applyAlignment="1">
      <alignment horizontal="justify" vertical="center"/>
    </xf>
    <xf numFmtId="0" fontId="12" fillId="0" borderId="0" xfId="1" applyAlignment="1">
      <alignment vertical="center"/>
    </xf>
    <xf numFmtId="0" fontId="5" fillId="2" borderId="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17" fillId="0" borderId="0" xfId="0" applyFont="1" applyAlignment="1">
      <alignment horizontal="justify" vertical="center"/>
    </xf>
    <xf numFmtId="0" fontId="0" fillId="0" borderId="0" xfId="0" applyProtection="1">
      <protection locked="0"/>
    </xf>
    <xf numFmtId="0" fontId="5" fillId="3" borderId="14"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6" borderId="2" xfId="0" applyFont="1" applyFill="1" applyBorder="1" applyAlignment="1" applyProtection="1">
      <alignment vertical="center" wrapText="1"/>
      <protection locked="0"/>
    </xf>
    <xf numFmtId="0" fontId="4" fillId="6" borderId="10" xfId="0" applyFont="1" applyFill="1" applyBorder="1" applyAlignment="1" applyProtection="1">
      <alignment horizontal="center" vertical="center" wrapText="1"/>
      <protection locked="0"/>
    </xf>
    <xf numFmtId="0" fontId="4" fillId="6" borderId="12" xfId="0" applyFont="1" applyFill="1" applyBorder="1" applyAlignment="1" applyProtection="1">
      <alignment horizontal="center" vertical="center" wrapText="1"/>
      <protection locked="0"/>
    </xf>
    <xf numFmtId="0" fontId="4" fillId="6" borderId="13" xfId="0" applyFont="1" applyFill="1" applyBorder="1" applyAlignment="1" applyProtection="1">
      <alignment horizontal="center" vertical="center" wrapText="1"/>
      <protection locked="0"/>
    </xf>
    <xf numFmtId="0" fontId="4" fillId="6" borderId="14" xfId="0" applyFont="1" applyFill="1" applyBorder="1" applyAlignment="1" applyProtection="1">
      <alignment horizontal="center" vertical="center" wrapText="1"/>
      <protection locked="0"/>
    </xf>
    <xf numFmtId="0" fontId="2" fillId="0" borderId="0" xfId="0" applyFont="1" applyAlignment="1">
      <alignment horizontal="justify"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0" fillId="7" borderId="1" xfId="0" applyFill="1" applyBorder="1" applyAlignment="1">
      <alignment horizontal="center" vertical="center"/>
    </xf>
    <xf numFmtId="0" fontId="0" fillId="4" borderId="2" xfId="0" applyFill="1" applyBorder="1"/>
    <xf numFmtId="0" fontId="15" fillId="5" borderId="1" xfId="0" applyFont="1" applyFill="1" applyBorder="1" applyAlignment="1">
      <alignment horizontal="center" vertical="center" wrapText="1"/>
    </xf>
    <xf numFmtId="0" fontId="7" fillId="0" borderId="0" xfId="0" applyFont="1" applyAlignment="1">
      <alignment horizontal="justify" vertical="center"/>
    </xf>
    <xf numFmtId="0" fontId="6" fillId="0" borderId="0" xfId="0" applyFont="1" applyAlignment="1">
      <alignment horizontal="justify" vertical="center"/>
    </xf>
    <xf numFmtId="0" fontId="8" fillId="0" borderId="0" xfId="0" applyFont="1" applyAlignment="1">
      <alignment horizontal="justify" vertical="center"/>
    </xf>
    <xf numFmtId="0" fontId="3" fillId="0" borderId="0" xfId="0" applyFont="1" applyAlignment="1">
      <alignment horizontal="left" vertical="center"/>
    </xf>
    <xf numFmtId="49" fontId="9" fillId="0" borderId="0" xfId="0" applyNumberFormat="1" applyFont="1" applyAlignment="1">
      <alignment horizontal="left" vertical="top" wrapText="1"/>
    </xf>
    <xf numFmtId="0" fontId="2" fillId="7" borderId="14" xfId="0" applyFont="1" applyFill="1" applyBorder="1" applyAlignment="1">
      <alignment horizontal="left" vertical="center"/>
    </xf>
    <xf numFmtId="0" fontId="2" fillId="7" borderId="11" xfId="0" applyFont="1" applyFill="1" applyBorder="1" applyAlignment="1">
      <alignment horizontal="left" vertical="center"/>
    </xf>
    <xf numFmtId="0" fontId="17" fillId="5" borderId="14" xfId="0" applyFont="1" applyFill="1" applyBorder="1" applyAlignment="1">
      <alignment horizontal="left" vertical="center" wrapText="1"/>
    </xf>
    <xf numFmtId="0" fontId="17" fillId="5" borderId="11" xfId="0" applyFont="1" applyFill="1" applyBorder="1" applyAlignment="1">
      <alignment horizontal="left" vertical="center"/>
    </xf>
    <xf numFmtId="0" fontId="17" fillId="5" borderId="4" xfId="0" applyFont="1" applyFill="1" applyBorder="1" applyAlignment="1">
      <alignment horizontal="left" vertical="center"/>
    </xf>
    <xf numFmtId="0" fontId="17" fillId="0" borderId="0" xfId="0" applyFont="1" applyAlignment="1" applyProtection="1">
      <alignment horizontal="left" vertical="top" wrapText="1"/>
      <protection locked="0"/>
    </xf>
    <xf numFmtId="49" fontId="19" fillId="0" borderId="0" xfId="0" applyNumberFormat="1" applyFont="1" applyAlignment="1">
      <alignment horizontal="left" vertical="top" wrapText="1"/>
    </xf>
    <xf numFmtId="49" fontId="13" fillId="0" borderId="0" xfId="0" applyNumberFormat="1" applyFont="1" applyAlignment="1">
      <alignment horizontal="left" vertical="top" wrapText="1"/>
    </xf>
    <xf numFmtId="0" fontId="2" fillId="8" borderId="21" xfId="0" applyFont="1" applyFill="1" applyBorder="1" applyAlignment="1">
      <alignment horizontal="left" vertical="center" wrapText="1"/>
    </xf>
    <xf numFmtId="0" fontId="2" fillId="8" borderId="16" xfId="0" applyFont="1" applyFill="1" applyBorder="1" applyAlignment="1">
      <alignment horizontal="left" vertical="center" wrapText="1"/>
    </xf>
    <xf numFmtId="0" fontId="2" fillId="8" borderId="17" xfId="0" applyFont="1" applyFill="1" applyBorder="1" applyAlignment="1">
      <alignment horizontal="left" vertical="center" wrapText="1"/>
    </xf>
    <xf numFmtId="0" fontId="4" fillId="3" borderId="15" xfId="0" applyFont="1" applyFill="1" applyBorder="1" applyAlignment="1">
      <alignment horizontal="left" vertical="top"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3" fillId="0" borderId="10"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20"/>
  <sheetViews>
    <sheetView tabSelected="1" zoomScale="69" zoomScaleNormal="69" workbookViewId="0">
      <selection activeCell="A4" sqref="A4:C4"/>
    </sheetView>
  </sheetViews>
  <sheetFormatPr defaultColWidth="9.1796875" defaultRowHeight="14.5" x14ac:dyDescent="0.35"/>
  <cols>
    <col min="1" max="1" width="19.453125" style="19" customWidth="1"/>
    <col min="2" max="2" width="62.7265625" style="19" customWidth="1"/>
    <col min="3" max="3" width="19.1796875" style="19" customWidth="1"/>
    <col min="4" max="4" width="20.453125" style="19" customWidth="1"/>
    <col min="5" max="5" width="17.54296875" style="19" customWidth="1"/>
    <col min="6" max="6" width="27.26953125" style="19" customWidth="1"/>
    <col min="7" max="16384" width="9.1796875" style="19"/>
  </cols>
  <sheetData>
    <row r="1" spans="1:30" customFormat="1" ht="19" thickBot="1" x14ac:dyDescent="0.4">
      <c r="A1" s="43" t="s">
        <v>28</v>
      </c>
      <c r="B1" s="43"/>
      <c r="C1" s="43"/>
    </row>
    <row r="2" spans="1:30" ht="30.75" customHeight="1" thickBot="1" x14ac:dyDescent="0.4">
      <c r="A2" s="20" t="s">
        <v>0</v>
      </c>
      <c r="B2" s="21"/>
      <c r="C2" s="22"/>
      <c r="D2"/>
      <c r="E2"/>
      <c r="F2"/>
      <c r="G2"/>
      <c r="H2"/>
      <c r="I2"/>
      <c r="J2"/>
      <c r="K2"/>
      <c r="L2"/>
      <c r="M2"/>
      <c r="N2"/>
      <c r="O2"/>
      <c r="P2"/>
      <c r="Q2"/>
      <c r="R2"/>
      <c r="S2"/>
      <c r="T2"/>
      <c r="U2"/>
      <c r="V2"/>
      <c r="W2"/>
      <c r="X2"/>
      <c r="Y2"/>
      <c r="Z2"/>
      <c r="AA2"/>
      <c r="AB2"/>
      <c r="AC2"/>
      <c r="AD2"/>
    </row>
    <row r="3" spans="1:30" customFormat="1" x14ac:dyDescent="0.35">
      <c r="A3" s="27"/>
    </row>
    <row r="4" spans="1:30" customFormat="1" ht="42.4" customHeight="1" thickBot="1" x14ac:dyDescent="0.4">
      <c r="A4" s="59" t="s">
        <v>50</v>
      </c>
      <c r="B4" s="59"/>
      <c r="C4" s="59"/>
    </row>
    <row r="5" spans="1:30" ht="36.4" customHeight="1" thickBot="1" x14ac:dyDescent="0.4">
      <c r="A5" s="28" t="s">
        <v>51</v>
      </c>
      <c r="B5" s="29" t="s">
        <v>19</v>
      </c>
      <c r="C5" s="29" t="s">
        <v>1</v>
      </c>
      <c r="D5" s="28" t="s">
        <v>23</v>
      </c>
      <c r="E5" s="29" t="s">
        <v>6</v>
      </c>
      <c r="F5" s="29" t="s">
        <v>25</v>
      </c>
    </row>
    <row r="6" spans="1:30" ht="51.75" customHeight="1" thickBot="1" x14ac:dyDescent="0.4">
      <c r="A6" s="30">
        <v>1</v>
      </c>
      <c r="B6" s="31" t="s">
        <v>30</v>
      </c>
      <c r="C6" s="31" t="s">
        <v>24</v>
      </c>
      <c r="D6" s="23"/>
      <c r="E6" s="30">
        <v>2</v>
      </c>
      <c r="F6" s="30">
        <f>D6*(E6/100)</f>
        <v>0</v>
      </c>
    </row>
    <row r="7" spans="1:30" ht="51.75" customHeight="1" thickBot="1" x14ac:dyDescent="0.4">
      <c r="A7" s="32">
        <v>2</v>
      </c>
      <c r="B7" s="31" t="s">
        <v>29</v>
      </c>
      <c r="C7" s="31" t="s">
        <v>24</v>
      </c>
      <c r="D7" s="23"/>
      <c r="E7" s="30">
        <v>4</v>
      </c>
      <c r="F7" s="30">
        <f>D7*(E7/100)</f>
        <v>0</v>
      </c>
    </row>
    <row r="8" spans="1:30" ht="51.75" customHeight="1" thickBot="1" x14ac:dyDescent="0.4">
      <c r="A8" s="32">
        <v>3</v>
      </c>
      <c r="B8" s="30" t="s">
        <v>31</v>
      </c>
      <c r="C8" s="31" t="s">
        <v>24</v>
      </c>
      <c r="D8" s="23"/>
      <c r="E8" s="30">
        <v>2</v>
      </c>
      <c r="F8" s="30">
        <f>D8*(E8/100)</f>
        <v>0</v>
      </c>
    </row>
    <row r="9" spans="1:30" ht="51.75" customHeight="1" thickBot="1" x14ac:dyDescent="0.4">
      <c r="A9" s="32">
        <v>4</v>
      </c>
      <c r="B9" s="30" t="s">
        <v>32</v>
      </c>
      <c r="C9" s="31" t="s">
        <v>24</v>
      </c>
      <c r="D9" s="23"/>
      <c r="E9" s="30">
        <v>4</v>
      </c>
      <c r="F9" s="30">
        <f>D9*(E9/100)</f>
        <v>0</v>
      </c>
    </row>
    <row r="10" spans="1:30" ht="51.75" customHeight="1" thickBot="1" x14ac:dyDescent="0.4">
      <c r="A10" s="32">
        <v>5</v>
      </c>
      <c r="B10" s="30" t="s">
        <v>47</v>
      </c>
      <c r="C10" s="31" t="s">
        <v>24</v>
      </c>
      <c r="D10" s="23"/>
      <c r="E10" s="30">
        <v>10</v>
      </c>
      <c r="F10" s="30">
        <f>D10*(E10/100)</f>
        <v>0</v>
      </c>
    </row>
    <row r="11" spans="1:30" ht="51.75" customHeight="1" thickBot="1" x14ac:dyDescent="0.4">
      <c r="A11" s="30">
        <v>6</v>
      </c>
      <c r="B11" s="30" t="s">
        <v>48</v>
      </c>
      <c r="C11" s="31" t="s">
        <v>24</v>
      </c>
      <c r="D11" s="24"/>
      <c r="E11" s="30">
        <v>2</v>
      </c>
      <c r="F11" s="30">
        <f t="shared" ref="F11:F25" si="0">D11*(E11/100)</f>
        <v>0</v>
      </c>
    </row>
    <row r="12" spans="1:30" ht="51.75" customHeight="1" thickBot="1" x14ac:dyDescent="0.4">
      <c r="A12" s="30">
        <v>7</v>
      </c>
      <c r="B12" s="30" t="s">
        <v>33</v>
      </c>
      <c r="C12" s="31" t="s">
        <v>24</v>
      </c>
      <c r="D12" s="24"/>
      <c r="E12" s="30">
        <v>6</v>
      </c>
      <c r="F12" s="30">
        <f t="shared" si="0"/>
        <v>0</v>
      </c>
    </row>
    <row r="13" spans="1:30" ht="51.75" customHeight="1" thickBot="1" x14ac:dyDescent="0.4">
      <c r="A13" s="33">
        <v>8</v>
      </c>
      <c r="B13" s="30" t="s">
        <v>41</v>
      </c>
      <c r="C13" s="31" t="s">
        <v>24</v>
      </c>
      <c r="D13" s="25"/>
      <c r="E13" s="30">
        <v>10</v>
      </c>
      <c r="F13" s="30">
        <f t="shared" si="0"/>
        <v>0</v>
      </c>
    </row>
    <row r="14" spans="1:30" ht="51.75" customHeight="1" thickBot="1" x14ac:dyDescent="0.4">
      <c r="A14" s="30">
        <v>9</v>
      </c>
      <c r="B14" s="34" t="s">
        <v>42</v>
      </c>
      <c r="C14" s="31" t="s">
        <v>24</v>
      </c>
      <c r="D14" s="25"/>
      <c r="E14" s="30">
        <v>2</v>
      </c>
      <c r="F14" s="30">
        <f t="shared" si="0"/>
        <v>0</v>
      </c>
    </row>
    <row r="15" spans="1:30" ht="51.75" customHeight="1" thickBot="1" x14ac:dyDescent="0.4">
      <c r="A15" s="30">
        <v>10</v>
      </c>
      <c r="B15" s="30" t="s">
        <v>43</v>
      </c>
      <c r="C15" s="31" t="s">
        <v>24</v>
      </c>
      <c r="D15" s="25"/>
      <c r="E15" s="30">
        <v>4</v>
      </c>
      <c r="F15" s="30">
        <f t="shared" si="0"/>
        <v>0</v>
      </c>
    </row>
    <row r="16" spans="1:30" ht="51.75" customHeight="1" thickBot="1" x14ac:dyDescent="0.4">
      <c r="A16" s="30">
        <v>11</v>
      </c>
      <c r="B16" s="30" t="s">
        <v>44</v>
      </c>
      <c r="C16" s="31" t="s">
        <v>24</v>
      </c>
      <c r="D16" s="25"/>
      <c r="E16" s="30">
        <v>2</v>
      </c>
      <c r="F16" s="30">
        <f t="shared" si="0"/>
        <v>0</v>
      </c>
    </row>
    <row r="17" spans="1:42" ht="51.75" customHeight="1" thickBot="1" x14ac:dyDescent="0.4">
      <c r="A17" s="30">
        <v>12</v>
      </c>
      <c r="B17" s="30" t="s">
        <v>45</v>
      </c>
      <c r="C17" s="31" t="s">
        <v>24</v>
      </c>
      <c r="D17" s="25"/>
      <c r="E17" s="30">
        <v>2</v>
      </c>
      <c r="F17" s="30">
        <f t="shared" si="0"/>
        <v>0</v>
      </c>
    </row>
    <row r="18" spans="1:42" ht="51.75" customHeight="1" thickBot="1" x14ac:dyDescent="0.4">
      <c r="A18" s="30">
        <v>13</v>
      </c>
      <c r="B18" s="35" t="s">
        <v>34</v>
      </c>
      <c r="C18" s="31" t="s">
        <v>24</v>
      </c>
      <c r="D18" s="25"/>
      <c r="E18" s="30">
        <v>6</v>
      </c>
      <c r="F18" s="30">
        <f t="shared" si="0"/>
        <v>0</v>
      </c>
    </row>
    <row r="19" spans="1:42" ht="51.75" customHeight="1" thickBot="1" x14ac:dyDescent="0.4">
      <c r="A19" s="36">
        <v>14</v>
      </c>
      <c r="B19" s="30" t="s">
        <v>40</v>
      </c>
      <c r="C19" s="31" t="s">
        <v>24</v>
      </c>
      <c r="D19" s="25"/>
      <c r="E19" s="30">
        <v>8</v>
      </c>
      <c r="F19" s="30">
        <f t="shared" si="0"/>
        <v>0</v>
      </c>
    </row>
    <row r="20" spans="1:42" ht="51.75" customHeight="1" thickBot="1" x14ac:dyDescent="0.4">
      <c r="A20" s="30">
        <v>15</v>
      </c>
      <c r="B20" s="30" t="s">
        <v>39</v>
      </c>
      <c r="C20" s="31" t="s">
        <v>24</v>
      </c>
      <c r="D20" s="25"/>
      <c r="E20" s="30">
        <v>2</v>
      </c>
      <c r="F20" s="30">
        <f t="shared" ref="F20:F22" si="1">D20*(E20/100)</f>
        <v>0</v>
      </c>
    </row>
    <row r="21" spans="1:42" ht="51.75" customHeight="1" thickBot="1" x14ac:dyDescent="0.4">
      <c r="A21" s="30">
        <v>16</v>
      </c>
      <c r="B21" s="35" t="s">
        <v>35</v>
      </c>
      <c r="C21" s="31" t="s">
        <v>24</v>
      </c>
      <c r="D21" s="25"/>
      <c r="E21" s="30">
        <v>6</v>
      </c>
      <c r="F21" s="30">
        <f t="shared" si="1"/>
        <v>0</v>
      </c>
    </row>
    <row r="22" spans="1:42" ht="51.75" customHeight="1" thickBot="1" x14ac:dyDescent="0.4">
      <c r="A22" s="36">
        <v>17</v>
      </c>
      <c r="B22" s="30" t="s">
        <v>46</v>
      </c>
      <c r="C22" s="31" t="s">
        <v>24</v>
      </c>
      <c r="D22" s="25"/>
      <c r="E22" s="30">
        <v>10</v>
      </c>
      <c r="F22" s="30">
        <f t="shared" si="1"/>
        <v>0</v>
      </c>
    </row>
    <row r="23" spans="1:42" ht="51.75" customHeight="1" thickBot="1" x14ac:dyDescent="0.4">
      <c r="A23" s="30">
        <v>18</v>
      </c>
      <c r="B23" s="30" t="s">
        <v>38</v>
      </c>
      <c r="C23" s="31" t="s">
        <v>24</v>
      </c>
      <c r="D23" s="25"/>
      <c r="E23" s="30">
        <v>2</v>
      </c>
      <c r="F23" s="30">
        <f t="shared" si="0"/>
        <v>0</v>
      </c>
    </row>
    <row r="24" spans="1:42" ht="51.75" customHeight="1" thickBot="1" x14ac:dyDescent="0.4">
      <c r="A24" s="30">
        <v>19</v>
      </c>
      <c r="B24" s="34" t="s">
        <v>36</v>
      </c>
      <c r="C24" s="31" t="s">
        <v>24</v>
      </c>
      <c r="D24" s="25"/>
      <c r="E24" s="30">
        <v>6</v>
      </c>
      <c r="F24" s="30">
        <f t="shared" si="0"/>
        <v>0</v>
      </c>
    </row>
    <row r="25" spans="1:42" ht="51.75" customHeight="1" thickBot="1" x14ac:dyDescent="0.4">
      <c r="A25" s="30">
        <v>20</v>
      </c>
      <c r="B25" s="30" t="s">
        <v>37</v>
      </c>
      <c r="C25" s="31" t="s">
        <v>24</v>
      </c>
      <c r="D25" s="26"/>
      <c r="E25" s="35">
        <v>10</v>
      </c>
      <c r="F25" s="30">
        <f t="shared" si="0"/>
        <v>0</v>
      </c>
    </row>
    <row r="26" spans="1:42" ht="15" thickBot="1" x14ac:dyDescent="0.4">
      <c r="A26" s="45" t="s">
        <v>7</v>
      </c>
      <c r="B26" s="46"/>
      <c r="C26" s="46"/>
      <c r="D26" s="46"/>
      <c r="E26" s="37">
        <f>SUM(E6:E25)</f>
        <v>100</v>
      </c>
      <c r="F26" s="38"/>
    </row>
    <row r="27" spans="1:42" customFormat="1" ht="42.75" customHeight="1" thickBot="1" x14ac:dyDescent="0.4">
      <c r="A27" s="47" t="s">
        <v>21</v>
      </c>
      <c r="B27" s="48"/>
      <c r="C27" s="48"/>
      <c r="D27" s="48"/>
      <c r="E27" s="49"/>
      <c r="F27" s="39">
        <f>SUM(F6:F25)</f>
        <v>0</v>
      </c>
    </row>
    <row r="28" spans="1:42" ht="409.6" customHeight="1" x14ac:dyDescent="0.35">
      <c r="A28" s="50" t="s">
        <v>49</v>
      </c>
      <c r="B28" s="50"/>
      <c r="C28" s="50"/>
      <c r="D28" s="50"/>
      <c r="E28" s="50"/>
      <c r="F28" s="50"/>
    </row>
    <row r="29" spans="1:42" ht="348" customHeight="1" x14ac:dyDescent="0.35">
      <c r="A29" s="44"/>
      <c r="B29" s="44"/>
      <c r="C29" s="44"/>
      <c r="D29" s="44"/>
      <c r="E29" s="44"/>
      <c r="F29" s="44"/>
      <c r="G29" s="44"/>
      <c r="H29" s="44"/>
      <c r="I29" s="44"/>
      <c r="J29" s="44"/>
      <c r="K29"/>
      <c r="L29"/>
      <c r="M29"/>
      <c r="N29"/>
      <c r="O29"/>
      <c r="P29"/>
      <c r="Q29"/>
      <c r="R29"/>
      <c r="S29"/>
      <c r="T29"/>
      <c r="U29"/>
      <c r="V29"/>
      <c r="W29"/>
      <c r="X29"/>
      <c r="Y29"/>
      <c r="Z29"/>
      <c r="AA29"/>
      <c r="AB29"/>
      <c r="AC29"/>
      <c r="AD29"/>
      <c r="AE29"/>
      <c r="AF29"/>
      <c r="AG29"/>
      <c r="AH29"/>
      <c r="AI29"/>
      <c r="AJ29"/>
      <c r="AK29"/>
      <c r="AL29"/>
      <c r="AM29"/>
      <c r="AN29"/>
      <c r="AO29"/>
      <c r="AP29"/>
    </row>
    <row r="30" spans="1:42" x14ac:dyDescent="0.35">
      <c r="A30" s="4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row>
    <row r="31" spans="1:42" x14ac:dyDescent="0.35">
      <c r="A31" s="40"/>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row>
    <row r="32" spans="1:42" x14ac:dyDescent="0.35">
      <c r="A32" s="41"/>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row>
    <row r="33" spans="1:42" x14ac:dyDescent="0.35">
      <c r="A33" s="42"/>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row>
    <row r="34" spans="1:42" x14ac:dyDescent="0.35">
      <c r="A34" s="2"/>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row>
    <row r="35" spans="1:42" x14ac:dyDescent="0.35">
      <c r="A35" s="2"/>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row>
    <row r="36" spans="1:42" x14ac:dyDescent="0.35">
      <c r="A36" s="2"/>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row>
    <row r="37" spans="1:42" x14ac:dyDescent="0.35">
      <c r="A37" s="2"/>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row>
    <row r="38" spans="1:42" x14ac:dyDescent="0.3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row>
    <row r="39" spans="1:42" x14ac:dyDescent="0.3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row>
    <row r="40" spans="1:42" x14ac:dyDescent="0.3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row>
    <row r="41" spans="1:42" x14ac:dyDescent="0.3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row>
    <row r="42" spans="1:42" x14ac:dyDescent="0.3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row>
    <row r="43" spans="1:42" x14ac:dyDescent="0.3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row>
    <row r="44" spans="1:42" x14ac:dyDescent="0.3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row>
    <row r="45" spans="1:42" x14ac:dyDescent="0.3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row>
    <row r="46" spans="1:42" x14ac:dyDescent="0.3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row>
    <row r="47" spans="1:42" x14ac:dyDescent="0.3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row>
    <row r="48" spans="1:42" x14ac:dyDescent="0.3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row>
    <row r="49" spans="1:42" x14ac:dyDescent="0.3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row>
    <row r="50" spans="1:42" x14ac:dyDescent="0.3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row>
    <row r="51" spans="1:42" x14ac:dyDescent="0.3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row>
    <row r="52" spans="1:42"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row>
    <row r="53" spans="1:42" x14ac:dyDescent="0.3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row>
    <row r="54" spans="1:42" x14ac:dyDescent="0.3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row>
    <row r="55" spans="1:42" x14ac:dyDescent="0.3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row>
    <row r="56" spans="1:42" x14ac:dyDescent="0.3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row>
    <row r="57" spans="1:42" x14ac:dyDescent="0.3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row>
    <row r="58" spans="1:42" x14ac:dyDescent="0.3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row>
    <row r="59" spans="1:42" x14ac:dyDescent="0.3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row>
    <row r="60" spans="1:42" x14ac:dyDescent="0.3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row>
    <row r="61" spans="1:42" x14ac:dyDescent="0.3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row>
    <row r="62" spans="1:42" x14ac:dyDescent="0.3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row>
    <row r="63" spans="1:42" x14ac:dyDescent="0.3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row>
    <row r="64" spans="1:42" x14ac:dyDescent="0.3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row>
    <row r="65" spans="1:42" x14ac:dyDescent="0.3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row>
    <row r="66" spans="1:42" x14ac:dyDescent="0.3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row>
    <row r="67" spans="1:42" x14ac:dyDescent="0.3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row>
    <row r="68" spans="1:42" x14ac:dyDescent="0.3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row>
    <row r="69" spans="1:42" x14ac:dyDescent="0.3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row>
    <row r="70" spans="1:42" x14ac:dyDescent="0.3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row>
    <row r="71" spans="1:42"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row>
    <row r="72" spans="1:42" x14ac:dyDescent="0.3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row>
    <row r="73" spans="1:42" x14ac:dyDescent="0.3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row>
    <row r="74" spans="1:42" x14ac:dyDescent="0.3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row>
    <row r="75" spans="1:42" x14ac:dyDescent="0.3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row>
    <row r="76" spans="1:42" x14ac:dyDescent="0.3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row>
    <row r="77" spans="1:42" x14ac:dyDescent="0.3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row>
    <row r="78" spans="1:42" x14ac:dyDescent="0.3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row>
    <row r="79" spans="1:42" x14ac:dyDescent="0.3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row>
    <row r="80" spans="1:42" x14ac:dyDescent="0.3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row>
    <row r="81" spans="1:42" x14ac:dyDescent="0.3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row>
    <row r="82" spans="1:42" x14ac:dyDescent="0.3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row>
    <row r="83" spans="1:42" x14ac:dyDescent="0.3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row>
    <row r="84" spans="1:42" x14ac:dyDescent="0.3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row>
    <row r="85" spans="1:42" x14ac:dyDescent="0.3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row>
    <row r="86" spans="1:42" x14ac:dyDescent="0.3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row>
    <row r="87" spans="1:42" x14ac:dyDescent="0.3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row>
    <row r="88" spans="1:42" x14ac:dyDescent="0.3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row>
    <row r="89" spans="1:42" x14ac:dyDescent="0.3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row>
    <row r="90" spans="1:42" x14ac:dyDescent="0.3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row>
    <row r="91" spans="1:42" x14ac:dyDescent="0.3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row>
    <row r="92" spans="1:42" x14ac:dyDescent="0.3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row>
    <row r="93" spans="1:42" x14ac:dyDescent="0.3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row>
    <row r="94" spans="1:42" x14ac:dyDescent="0.3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row>
    <row r="95" spans="1:42" x14ac:dyDescent="0.3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row>
    <row r="96" spans="1:42" x14ac:dyDescent="0.3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row>
    <row r="97" spans="1:42" x14ac:dyDescent="0.3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row>
    <row r="98" spans="1:42" x14ac:dyDescent="0.3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row>
    <row r="99" spans="1:42" x14ac:dyDescent="0.3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row>
    <row r="100" spans="1:42" x14ac:dyDescent="0.3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row>
    <row r="101" spans="1:42" x14ac:dyDescent="0.3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row>
    <row r="102" spans="1:42" x14ac:dyDescent="0.3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row>
    <row r="103" spans="1:42" x14ac:dyDescent="0.3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row>
    <row r="104" spans="1:42" x14ac:dyDescent="0.3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row>
    <row r="105" spans="1:42" x14ac:dyDescent="0.3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row>
    <row r="106" spans="1:42" x14ac:dyDescent="0.3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row>
    <row r="107" spans="1:42" x14ac:dyDescent="0.3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row>
    <row r="108" spans="1:42" x14ac:dyDescent="0.3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row>
    <row r="109" spans="1:42" x14ac:dyDescent="0.3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row>
    <row r="110" spans="1:42" x14ac:dyDescent="0.3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row>
    <row r="111" spans="1:42" x14ac:dyDescent="0.3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row>
    <row r="112" spans="1:42" x14ac:dyDescent="0.3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row>
    <row r="113" spans="1:42"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row>
    <row r="114" spans="1:42" x14ac:dyDescent="0.3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row>
    <row r="115" spans="1:42" x14ac:dyDescent="0.3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row>
    <row r="116" spans="1:42" x14ac:dyDescent="0.3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row>
    <row r="117" spans="1:42" x14ac:dyDescent="0.3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row>
    <row r="118" spans="1:42" x14ac:dyDescent="0.3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row>
    <row r="119" spans="1:42"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row>
    <row r="120" spans="1:42" x14ac:dyDescent="0.3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row>
    <row r="121" spans="1:42" x14ac:dyDescent="0.3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row>
    <row r="122" spans="1:42" x14ac:dyDescent="0.3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row>
    <row r="123" spans="1:42" x14ac:dyDescent="0.3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row>
    <row r="124" spans="1:42" x14ac:dyDescent="0.3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row>
    <row r="125" spans="1:42" x14ac:dyDescent="0.3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row>
    <row r="126" spans="1:42" x14ac:dyDescent="0.3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row>
    <row r="127" spans="1:42" x14ac:dyDescent="0.3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row>
    <row r="128" spans="1:42" x14ac:dyDescent="0.3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row>
    <row r="129" spans="1:42" x14ac:dyDescent="0.3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row>
    <row r="130" spans="1:42" x14ac:dyDescent="0.3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row>
    <row r="131" spans="1:42" x14ac:dyDescent="0.3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row>
    <row r="132" spans="1:42" x14ac:dyDescent="0.3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row>
    <row r="133" spans="1:42" x14ac:dyDescent="0.3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row>
    <row r="134" spans="1:42" x14ac:dyDescent="0.3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row>
    <row r="135" spans="1:42" x14ac:dyDescent="0.3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row>
    <row r="136" spans="1:42" x14ac:dyDescent="0.3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row>
    <row r="137" spans="1:42" x14ac:dyDescent="0.3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row>
    <row r="138" spans="1:42" x14ac:dyDescent="0.3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row>
    <row r="139" spans="1:42" x14ac:dyDescent="0.3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row>
    <row r="140" spans="1:42" x14ac:dyDescent="0.3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row>
    <row r="141" spans="1:42" x14ac:dyDescent="0.3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row>
    <row r="142" spans="1:42" x14ac:dyDescent="0.3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row>
    <row r="143" spans="1:42" x14ac:dyDescent="0.3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row>
    <row r="144" spans="1:42" x14ac:dyDescent="0.3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row>
    <row r="145" spans="1:42" x14ac:dyDescent="0.3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row>
    <row r="146" spans="1:42" x14ac:dyDescent="0.3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row>
    <row r="147" spans="1:42" x14ac:dyDescent="0.3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row>
    <row r="148" spans="1:42" x14ac:dyDescent="0.3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row>
    <row r="149" spans="1:42" x14ac:dyDescent="0.3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row>
    <row r="150" spans="1:42" x14ac:dyDescent="0.3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row>
    <row r="151" spans="1:42" x14ac:dyDescent="0.3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row>
    <row r="152" spans="1:42" x14ac:dyDescent="0.3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row>
    <row r="153" spans="1:42" x14ac:dyDescent="0.3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row>
    <row r="154" spans="1:42" x14ac:dyDescent="0.3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row>
    <row r="155" spans="1:42" x14ac:dyDescent="0.3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row>
    <row r="156" spans="1:42" x14ac:dyDescent="0.3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row>
    <row r="157" spans="1:42" x14ac:dyDescent="0.3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row>
    <row r="158" spans="1:42" x14ac:dyDescent="0.3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row>
    <row r="159" spans="1:42" x14ac:dyDescent="0.3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row>
    <row r="160" spans="1:42" x14ac:dyDescent="0.3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row>
    <row r="161" spans="1:42" x14ac:dyDescent="0.3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row>
    <row r="162" spans="1:42" x14ac:dyDescent="0.3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row>
    <row r="163" spans="1:42" x14ac:dyDescent="0.3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row>
    <row r="164" spans="1:42" x14ac:dyDescent="0.3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row>
    <row r="165" spans="1:42" x14ac:dyDescent="0.3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row>
    <row r="166" spans="1:42" x14ac:dyDescent="0.3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row>
    <row r="167" spans="1:42" x14ac:dyDescent="0.3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row>
    <row r="168" spans="1:42" x14ac:dyDescent="0.3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row>
    <row r="169" spans="1:42" x14ac:dyDescent="0.3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row>
    <row r="170" spans="1:42" x14ac:dyDescent="0.3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row>
    <row r="171" spans="1:42" x14ac:dyDescent="0.3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row>
    <row r="172" spans="1:42" x14ac:dyDescent="0.3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row>
    <row r="173" spans="1:42" x14ac:dyDescent="0.3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row>
    <row r="174" spans="1:42" x14ac:dyDescent="0.3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row>
    <row r="175" spans="1:42" x14ac:dyDescent="0.3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row>
    <row r="176" spans="1:42" x14ac:dyDescent="0.3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row>
    <row r="177" spans="1:42" x14ac:dyDescent="0.3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row>
    <row r="178" spans="1:42" x14ac:dyDescent="0.3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row>
    <row r="179" spans="1:42" x14ac:dyDescent="0.3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row>
    <row r="180" spans="1:42" x14ac:dyDescent="0.3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row>
    <row r="181" spans="1:42" x14ac:dyDescent="0.3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row>
    <row r="182" spans="1:42" x14ac:dyDescent="0.3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row>
    <row r="183" spans="1:42" x14ac:dyDescent="0.3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row>
    <row r="184" spans="1:42" x14ac:dyDescent="0.3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row>
    <row r="185" spans="1:42" x14ac:dyDescent="0.3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row>
    <row r="186" spans="1:42" x14ac:dyDescent="0.3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row>
    <row r="187" spans="1:42" x14ac:dyDescent="0.3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row>
    <row r="188" spans="1:42" x14ac:dyDescent="0.3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row>
    <row r="189" spans="1:42" x14ac:dyDescent="0.3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row>
    <row r="190" spans="1:42" x14ac:dyDescent="0.3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row>
    <row r="191" spans="1:42" x14ac:dyDescent="0.3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row>
    <row r="192" spans="1:42" x14ac:dyDescent="0.3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row>
    <row r="193" spans="1:42" x14ac:dyDescent="0.3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row>
    <row r="194" spans="1:42" x14ac:dyDescent="0.3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row>
    <row r="195" spans="1:42" x14ac:dyDescent="0.3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row>
    <row r="196" spans="1:42" x14ac:dyDescent="0.3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row>
    <row r="197" spans="1:42" x14ac:dyDescent="0.3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row>
    <row r="198" spans="1:42" x14ac:dyDescent="0.3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row>
    <row r="199" spans="1:42" x14ac:dyDescent="0.3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row>
    <row r="200" spans="1:42" x14ac:dyDescent="0.3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row>
    <row r="201" spans="1:42" x14ac:dyDescent="0.3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row>
    <row r="202" spans="1:42" x14ac:dyDescent="0.3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row>
    <row r="203" spans="1:42" x14ac:dyDescent="0.3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row>
    <row r="204" spans="1:42" x14ac:dyDescent="0.3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row>
    <row r="205" spans="1:42" x14ac:dyDescent="0.3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row>
    <row r="206" spans="1:42" x14ac:dyDescent="0.3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row>
    <row r="207" spans="1:42" x14ac:dyDescent="0.3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row>
    <row r="208" spans="1:42" x14ac:dyDescent="0.3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row>
    <row r="209" spans="1:42" x14ac:dyDescent="0.3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row>
    <row r="210" spans="1:42" x14ac:dyDescent="0.3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row>
    <row r="211" spans="1:42" x14ac:dyDescent="0.3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row>
    <row r="212" spans="1:42" x14ac:dyDescent="0.3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row>
    <row r="213" spans="1:42"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row>
    <row r="214" spans="1:42"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row>
    <row r="215" spans="1:42"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row>
    <row r="216" spans="1:42"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row>
    <row r="217" spans="1:42"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row>
    <row r="218" spans="1:42"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row>
    <row r="219" spans="1:42"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row>
    <row r="220" spans="1:42"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row>
    <row r="221" spans="1:42"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row>
    <row r="222" spans="1:42"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row>
    <row r="223" spans="1:42"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row>
    <row r="224" spans="1:42"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row>
    <row r="225" spans="1:42"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row>
    <row r="226" spans="1:42" x14ac:dyDescent="0.3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row>
    <row r="227" spans="1:42" x14ac:dyDescent="0.3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row>
    <row r="228" spans="1:42" x14ac:dyDescent="0.3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row>
    <row r="229" spans="1:42" x14ac:dyDescent="0.3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row>
    <row r="230" spans="1:42" x14ac:dyDescent="0.3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row>
    <row r="231" spans="1:42" x14ac:dyDescent="0.3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row>
    <row r="232" spans="1:42" x14ac:dyDescent="0.3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row>
    <row r="233" spans="1:42" x14ac:dyDescent="0.3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row>
    <row r="234" spans="1:42" x14ac:dyDescent="0.3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row>
    <row r="235" spans="1:42" x14ac:dyDescent="0.3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row>
    <row r="236" spans="1:42" x14ac:dyDescent="0.3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row>
    <row r="237" spans="1:42" x14ac:dyDescent="0.3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row>
    <row r="238" spans="1:42" x14ac:dyDescent="0.3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row>
    <row r="239" spans="1:42" x14ac:dyDescent="0.3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row>
    <row r="240" spans="1:42" x14ac:dyDescent="0.3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row>
    <row r="241" spans="1:42" x14ac:dyDescent="0.3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row>
    <row r="242" spans="1:42" x14ac:dyDescent="0.3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row>
    <row r="243" spans="1:42" x14ac:dyDescent="0.3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row>
    <row r="244" spans="1:42" x14ac:dyDescent="0.3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row>
    <row r="245" spans="1:42" x14ac:dyDescent="0.3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row>
    <row r="246" spans="1:42" x14ac:dyDescent="0.3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row>
    <row r="247" spans="1:42" x14ac:dyDescent="0.3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row>
    <row r="248" spans="1:42" x14ac:dyDescent="0.3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row>
    <row r="249" spans="1:42" x14ac:dyDescent="0.3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row>
    <row r="250" spans="1:42" x14ac:dyDescent="0.3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row>
    <row r="251" spans="1:42" x14ac:dyDescent="0.3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row>
    <row r="252" spans="1:42" x14ac:dyDescent="0.3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row>
    <row r="253" spans="1:42" x14ac:dyDescent="0.3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row>
    <row r="254" spans="1:42" x14ac:dyDescent="0.3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row>
    <row r="255" spans="1:42" x14ac:dyDescent="0.3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row>
    <row r="256" spans="1:42" x14ac:dyDescent="0.3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row>
    <row r="257" spans="1:42" x14ac:dyDescent="0.3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row>
    <row r="258" spans="1:42" x14ac:dyDescent="0.3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row>
    <row r="259" spans="1:42" x14ac:dyDescent="0.3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row>
    <row r="260" spans="1:42" x14ac:dyDescent="0.3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row>
    <row r="261" spans="1:42" x14ac:dyDescent="0.3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row>
    <row r="262" spans="1:42" x14ac:dyDescent="0.3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row>
    <row r="263" spans="1:42" x14ac:dyDescent="0.3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row>
    <row r="264" spans="1:42" x14ac:dyDescent="0.3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row>
    <row r="265" spans="1:42" x14ac:dyDescent="0.3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row>
    <row r="266" spans="1:42" x14ac:dyDescent="0.3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row>
    <row r="267" spans="1:42" x14ac:dyDescent="0.3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row>
    <row r="268" spans="1:42" x14ac:dyDescent="0.3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row>
    <row r="269" spans="1:42" x14ac:dyDescent="0.3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row>
    <row r="270" spans="1:42" x14ac:dyDescent="0.3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row>
    <row r="271" spans="1:42" x14ac:dyDescent="0.3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row>
    <row r="272" spans="1:42" x14ac:dyDescent="0.3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row>
    <row r="273" spans="1:42" x14ac:dyDescent="0.3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row>
    <row r="274" spans="1:42" x14ac:dyDescent="0.3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row>
    <row r="275" spans="1:42" x14ac:dyDescent="0.3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row>
    <row r="276" spans="1:42" x14ac:dyDescent="0.3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row>
    <row r="277" spans="1:42" x14ac:dyDescent="0.3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row>
    <row r="278" spans="1:42" x14ac:dyDescent="0.3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row>
    <row r="279" spans="1:42" x14ac:dyDescent="0.3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row>
    <row r="280" spans="1:42" x14ac:dyDescent="0.3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row>
    <row r="281" spans="1:42" x14ac:dyDescent="0.3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row>
    <row r="282" spans="1:42" x14ac:dyDescent="0.35">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row>
    <row r="283" spans="1:42" x14ac:dyDescent="0.3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row>
    <row r="284" spans="1:42" x14ac:dyDescent="0.35">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row>
    <row r="285" spans="1:42" x14ac:dyDescent="0.3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row>
    <row r="286" spans="1:42" x14ac:dyDescent="0.35">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row>
    <row r="287" spans="1:42" x14ac:dyDescent="0.35">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row>
    <row r="288" spans="1:42" x14ac:dyDescent="0.35">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row>
    <row r="289" spans="1:42" x14ac:dyDescent="0.35">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row>
    <row r="290" spans="1:42" x14ac:dyDescent="0.35">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row>
    <row r="291" spans="1:42" x14ac:dyDescent="0.35">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row>
    <row r="292" spans="1:42" x14ac:dyDescent="0.35">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row>
    <row r="293" spans="1:42" x14ac:dyDescent="0.35">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row>
    <row r="294" spans="1:42" x14ac:dyDescent="0.35">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row>
    <row r="295" spans="1:42" x14ac:dyDescent="0.3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row>
    <row r="296" spans="1:42" x14ac:dyDescent="0.35">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row>
    <row r="297" spans="1:42" x14ac:dyDescent="0.35">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row>
    <row r="298" spans="1:42" x14ac:dyDescent="0.35">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row>
    <row r="299" spans="1:42" x14ac:dyDescent="0.35">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row>
    <row r="300" spans="1:42" x14ac:dyDescent="0.35">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row>
    <row r="301" spans="1:42" x14ac:dyDescent="0.35">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row>
    <row r="302" spans="1:42" x14ac:dyDescent="0.35">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row>
    <row r="303" spans="1:42" x14ac:dyDescent="0.35">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row>
    <row r="304" spans="1:42" x14ac:dyDescent="0.35">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row>
    <row r="305" spans="1:42" x14ac:dyDescent="0.3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row>
    <row r="306" spans="1:42" x14ac:dyDescent="0.35">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row>
    <row r="307" spans="1:42" x14ac:dyDescent="0.35">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row>
    <row r="308" spans="1:42" x14ac:dyDescent="0.35">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row>
    <row r="309" spans="1:42" x14ac:dyDescent="0.35">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row>
    <row r="310" spans="1:42" x14ac:dyDescent="0.35">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row>
    <row r="311" spans="1:42" x14ac:dyDescent="0.35">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row>
    <row r="312" spans="1:42" x14ac:dyDescent="0.35">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row>
    <row r="313" spans="1:42" x14ac:dyDescent="0.35">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row>
    <row r="314" spans="1:42" x14ac:dyDescent="0.35">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row>
    <row r="315" spans="1:42" x14ac:dyDescent="0.3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row>
    <row r="316" spans="1:42" x14ac:dyDescent="0.35">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row>
    <row r="317" spans="1:42" x14ac:dyDescent="0.35">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row>
    <row r="318" spans="1:42" x14ac:dyDescent="0.35">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row>
    <row r="319" spans="1:42" x14ac:dyDescent="0.35">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row>
    <row r="320" spans="1:42" x14ac:dyDescent="0.35">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row>
  </sheetData>
  <sheetProtection algorithmName="SHA-512" hashValue="wpXzS35FuNcJmzZY+QqUCO9vmple91vfKAcnIZ1KuAp0aCRc23VUZ9sAWb3/oR4TDJnWk1kseq2vhWrsTqaCTQ==" saltValue="R8M8PrIs0Wm9qziQJKf8zw==" spinCount="100000" sheet="1" insertColumns="0"/>
  <mergeCells count="6">
    <mergeCell ref="A1:C1"/>
    <mergeCell ref="A29:J29"/>
    <mergeCell ref="A26:D26"/>
    <mergeCell ref="A27:E27"/>
    <mergeCell ref="A4:C4"/>
    <mergeCell ref="A28:F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zoomScale="70" zoomScaleNormal="70" workbookViewId="0">
      <selection activeCell="C4" sqref="C4"/>
    </sheetView>
  </sheetViews>
  <sheetFormatPr defaultRowHeight="14.5" x14ac:dyDescent="0.35"/>
  <cols>
    <col min="1" max="1" width="74.26953125" customWidth="1"/>
    <col min="2" max="2" width="25.81640625" customWidth="1"/>
    <col min="3" max="5" width="15.54296875" customWidth="1"/>
  </cols>
  <sheetData>
    <row r="1" spans="1:5" x14ac:dyDescent="0.35">
      <c r="A1" s="3" t="s">
        <v>3</v>
      </c>
    </row>
    <row r="2" spans="1:5" ht="15" thickBot="1" x14ac:dyDescent="0.4">
      <c r="A2" s="4"/>
    </row>
    <row r="3" spans="1:5" ht="29" x14ac:dyDescent="0.35">
      <c r="A3" s="7" t="s">
        <v>4</v>
      </c>
      <c r="B3" s="8" t="s">
        <v>22</v>
      </c>
      <c r="C3" s="8" t="s">
        <v>23</v>
      </c>
      <c r="D3" s="11" t="s">
        <v>26</v>
      </c>
      <c r="E3" s="8" t="s">
        <v>5</v>
      </c>
    </row>
    <row r="4" spans="1:5" ht="117.5" customHeight="1" x14ac:dyDescent="0.35">
      <c r="A4" s="56" t="s">
        <v>27</v>
      </c>
      <c r="B4" s="9" t="s">
        <v>9</v>
      </c>
      <c r="C4" s="9">
        <f>'Part A'!D7</f>
        <v>0</v>
      </c>
      <c r="D4" s="12">
        <v>40</v>
      </c>
      <c r="E4" s="9">
        <f>D4*C4</f>
        <v>0</v>
      </c>
    </row>
    <row r="5" spans="1:5" ht="117.75" customHeight="1" x14ac:dyDescent="0.35">
      <c r="A5" s="57"/>
      <c r="B5" s="9" t="s">
        <v>10</v>
      </c>
      <c r="C5" s="9">
        <f>'Part A'!D12</f>
        <v>0</v>
      </c>
      <c r="D5" s="12">
        <v>24</v>
      </c>
      <c r="E5" s="9">
        <f t="shared" ref="E5:E13" si="0">D5*C5</f>
        <v>0</v>
      </c>
    </row>
    <row r="6" spans="1:5" ht="117.75" customHeight="1" x14ac:dyDescent="0.35">
      <c r="A6" s="57"/>
      <c r="B6" s="9" t="s">
        <v>11</v>
      </c>
      <c r="C6" s="9">
        <f>'Part A'!D13</f>
        <v>0</v>
      </c>
      <c r="D6" s="12">
        <v>56</v>
      </c>
      <c r="E6" s="9">
        <f t="shared" si="0"/>
        <v>0</v>
      </c>
    </row>
    <row r="7" spans="1:5" ht="117.75" customHeight="1" x14ac:dyDescent="0.35">
      <c r="A7" s="57"/>
      <c r="B7" s="9" t="s">
        <v>12</v>
      </c>
      <c r="C7" s="9">
        <f>'Part A'!D9</f>
        <v>0</v>
      </c>
      <c r="D7" s="12">
        <v>40</v>
      </c>
      <c r="E7" s="9">
        <f t="shared" si="0"/>
        <v>0</v>
      </c>
    </row>
    <row r="8" spans="1:5" ht="117.75" customHeight="1" x14ac:dyDescent="0.35">
      <c r="A8" s="57"/>
      <c r="B8" s="9" t="s">
        <v>13</v>
      </c>
      <c r="C8" s="9">
        <f>'Part A'!D10</f>
        <v>0</v>
      </c>
      <c r="D8" s="12">
        <v>80</v>
      </c>
      <c r="E8" s="9">
        <f t="shared" si="0"/>
        <v>0</v>
      </c>
    </row>
    <row r="9" spans="1:5" ht="117.75" customHeight="1" thickBot="1" x14ac:dyDescent="0.4">
      <c r="A9" s="57"/>
      <c r="B9" s="14" t="s">
        <v>14</v>
      </c>
      <c r="C9" s="9">
        <f>'Part A'!D19</f>
        <v>0</v>
      </c>
      <c r="D9" s="12">
        <v>60</v>
      </c>
      <c r="E9" s="9">
        <f t="shared" si="0"/>
        <v>0</v>
      </c>
    </row>
    <row r="10" spans="1:5" ht="102" customHeight="1" thickBot="1" x14ac:dyDescent="0.4">
      <c r="A10" s="57"/>
      <c r="B10" s="16" t="s">
        <v>15</v>
      </c>
      <c r="C10" s="9">
        <f>'Part A'!D24</f>
        <v>0</v>
      </c>
      <c r="D10" s="15">
        <v>56</v>
      </c>
      <c r="E10" s="9">
        <f t="shared" si="0"/>
        <v>0</v>
      </c>
    </row>
    <row r="11" spans="1:5" ht="99" customHeight="1" thickBot="1" x14ac:dyDescent="0.4">
      <c r="A11" s="57"/>
      <c r="B11" s="16" t="s">
        <v>16</v>
      </c>
      <c r="C11" s="9">
        <f>'Part A'!D16</f>
        <v>0</v>
      </c>
      <c r="D11" s="15">
        <v>40</v>
      </c>
      <c r="E11" s="9">
        <f t="shared" si="0"/>
        <v>0</v>
      </c>
    </row>
    <row r="12" spans="1:5" ht="105" customHeight="1" thickBot="1" x14ac:dyDescent="0.4">
      <c r="A12" s="57"/>
      <c r="B12" s="17" t="s">
        <v>17</v>
      </c>
      <c r="C12" s="13">
        <f>'Part A'!D21</f>
        <v>0</v>
      </c>
      <c r="D12" s="15">
        <v>120</v>
      </c>
      <c r="E12" s="9">
        <f t="shared" si="0"/>
        <v>0</v>
      </c>
    </row>
    <row r="13" spans="1:5" ht="107.25" customHeight="1" x14ac:dyDescent="0.35">
      <c r="A13" s="58"/>
      <c r="B13" s="17" t="s">
        <v>18</v>
      </c>
      <c r="C13" s="13">
        <f>'Part A'!D14</f>
        <v>0</v>
      </c>
      <c r="D13" s="15">
        <v>56</v>
      </c>
      <c r="E13" s="9">
        <f t="shared" si="0"/>
        <v>0</v>
      </c>
    </row>
    <row r="14" spans="1:5" ht="42" customHeight="1" x14ac:dyDescent="0.35">
      <c r="A14" s="53" t="s">
        <v>8</v>
      </c>
      <c r="B14" s="54"/>
      <c r="C14" s="54"/>
      <c r="D14" s="55"/>
      <c r="E14" s="10">
        <f>SUM(E4:E13)</f>
        <v>0</v>
      </c>
    </row>
    <row r="15" spans="1:5" x14ac:dyDescent="0.35">
      <c r="A15" s="4"/>
    </row>
    <row r="16" spans="1:5" x14ac:dyDescent="0.35">
      <c r="A16" s="18" t="s">
        <v>2</v>
      </c>
    </row>
    <row r="17" spans="1:5" ht="74.650000000000006" customHeight="1" x14ac:dyDescent="0.35">
      <c r="A17" s="51" t="s">
        <v>20</v>
      </c>
      <c r="B17" s="52"/>
      <c r="C17" s="52"/>
      <c r="D17" s="52"/>
      <c r="E17" s="52"/>
    </row>
    <row r="18" spans="1:5" x14ac:dyDescent="0.35">
      <c r="A18" s="2"/>
    </row>
    <row r="19" spans="1:5" x14ac:dyDescent="0.35">
      <c r="A19" s="5"/>
    </row>
    <row r="20" spans="1:5" ht="18.5" x14ac:dyDescent="0.35">
      <c r="A20" s="1"/>
    </row>
    <row r="23" spans="1:5" x14ac:dyDescent="0.35">
      <c r="A23" s="6"/>
    </row>
  </sheetData>
  <sheetProtection algorithmName="SHA-512" hashValue="aiL7iDjrperuPqkLGc9DoF9RAraS2gFvRWtjo5CTCeEV6BvQECDsGimRGXLKUqSChz8QqME5OiBtnzu8mDN+Pw==" saltValue="l09xiXHg/UX73mgaty9V3g==" spinCount="100000" sheet="1" objects="1" scenarios="1"/>
  <mergeCells count="3">
    <mergeCell ref="A17:E17"/>
    <mergeCell ref="A14:D14"/>
    <mergeCell ref="A4:A13"/>
  </mergeCells>
  <pageMargins left="0.7" right="0.7" top="0.75" bottom="0.75" header="0.3" footer="0.3"/>
  <pageSetup paperSize="9"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Part A</vt:lpstr>
      <vt:lpstr>Part B SCENARIO</vt:lpstr>
      <vt:lpstr>'Part A'!_ftn1</vt:lpstr>
      <vt:lpstr>'Part A'!_ftnref1</vt:lpstr>
    </vt:vector>
  </TitlesOfParts>
  <Company>European Aviation Safety Agency (EASA)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CERNA Petra</dc:creator>
  <cp:lastModifiedBy>CERNA Petra</cp:lastModifiedBy>
  <dcterms:created xsi:type="dcterms:W3CDTF">2020-08-27T12:04:52Z</dcterms:created>
  <dcterms:modified xsi:type="dcterms:W3CDTF">2026-08-13T14:57:43Z</dcterms:modified>
</cp:coreProperties>
</file>